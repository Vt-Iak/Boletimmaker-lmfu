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k-MainPC\Downloads\"/>
    </mc:Choice>
  </mc:AlternateContent>
  <xr:revisionPtr revIDLastSave="0" documentId="13_ncr:1_{E110A08F-900C-495E-B25E-5C888795079F}" xr6:coauthVersionLast="47" xr6:coauthVersionMax="47" xr10:uidLastSave="{00000000-0000-0000-0000-000000000000}"/>
  <bookViews>
    <workbookView xWindow="3192" yWindow="1848" windowWidth="12947" windowHeight="7648" xr2:uid="{13B7EBBB-EF4A-4C18-BDD1-57CFC27C6595}"/>
  </bookViews>
  <sheets>
    <sheet name="Planilha1" sheetId="1" r:id="rId1"/>
    <sheet name="Backu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/>
  <c r="H15" i="3"/>
  <c r="F15" i="3"/>
  <c r="D15" i="3"/>
  <c r="H14" i="3"/>
  <c r="F14" i="3"/>
  <c r="D14" i="3"/>
  <c r="H13" i="3"/>
  <c r="F13" i="3"/>
  <c r="D13" i="3"/>
  <c r="H12" i="3"/>
  <c r="F12" i="3"/>
  <c r="D12" i="3"/>
  <c r="H11" i="3"/>
  <c r="F11" i="3"/>
  <c r="D11" i="3"/>
  <c r="H10" i="3"/>
  <c r="F10" i="3"/>
  <c r="D10" i="3"/>
  <c r="H9" i="3"/>
  <c r="F9" i="3"/>
  <c r="D9" i="3"/>
  <c r="H8" i="3"/>
  <c r="F8" i="3"/>
  <c r="D8" i="3"/>
  <c r="H7" i="3"/>
  <c r="H6" i="3"/>
  <c r="F6" i="3"/>
  <c r="D6" i="3"/>
  <c r="H5" i="3"/>
  <c r="F5" i="3"/>
  <c r="D5" i="3"/>
  <c r="H4" i="3"/>
  <c r="F4" i="3"/>
  <c r="D4" i="3"/>
  <c r="M3" i="3"/>
  <c r="H3" i="3"/>
  <c r="F3" i="3"/>
  <c r="D3" i="3"/>
  <c r="H8" i="1"/>
  <c r="D8" i="1"/>
  <c r="H7" i="1"/>
  <c r="H15" i="1"/>
  <c r="H13" i="1"/>
  <c r="H12" i="1"/>
  <c r="H11" i="1"/>
  <c r="H10" i="1"/>
  <c r="H9" i="1"/>
  <c r="H6" i="1"/>
  <c r="H5" i="1"/>
  <c r="H4" i="1"/>
  <c r="H3" i="1"/>
  <c r="F15" i="1"/>
  <c r="F14" i="1"/>
  <c r="F13" i="1"/>
  <c r="F12" i="1"/>
  <c r="F11" i="1"/>
  <c r="F10" i="1"/>
  <c r="F9" i="1"/>
  <c r="F8" i="1"/>
  <c r="F6" i="1"/>
  <c r="F5" i="1"/>
  <c r="F4" i="1"/>
  <c r="F3" i="1"/>
  <c r="D4" i="1"/>
  <c r="D5" i="1"/>
  <c r="D6" i="1"/>
  <c r="D9" i="1"/>
  <c r="D10" i="1"/>
  <c r="D11" i="1"/>
  <c r="D12" i="1"/>
  <c r="D13" i="1"/>
  <c r="D14" i="1"/>
  <c r="D15" i="1"/>
  <c r="D3" i="1"/>
</calcChain>
</file>

<file path=xl/sharedStrings.xml><?xml version="1.0" encoding="utf-8"?>
<sst xmlns="http://schemas.openxmlformats.org/spreadsheetml/2006/main" count="84" uniqueCount="31">
  <si>
    <t>Abertura</t>
  </si>
  <si>
    <t>Semana</t>
  </si>
  <si>
    <t>Fechamento</t>
  </si>
  <si>
    <t>Ibovespa (pts)</t>
  </si>
  <si>
    <t>USD/BRL (R$)</t>
  </si>
  <si>
    <t>EUR/BRL (R$)</t>
  </si>
  <si>
    <t>DI Jan/27 (%)</t>
  </si>
  <si>
    <t>Selic Atual (%)</t>
  </si>
  <si>
    <t>S&amp;P 500 (pts)</t>
  </si>
  <si>
    <t>Nasdaq (pts)</t>
  </si>
  <si>
    <t>Dow Jones (pts)</t>
  </si>
  <si>
    <t>Brent (US$/bbl)</t>
  </si>
  <si>
    <t>WTI (US$/bbl)</t>
  </si>
  <si>
    <t>Ouro (US$/oz)</t>
  </si>
  <si>
    <t>Bitcoin (US$)</t>
  </si>
  <si>
    <t>T-Bond 10 anos (%)</t>
  </si>
  <si>
    <t>Dia</t>
  </si>
  <si>
    <t>Indice</t>
  </si>
  <si>
    <t>Var (%)</t>
  </si>
  <si>
    <t>Fontes</t>
  </si>
  <si>
    <t>F1: BACEN</t>
  </si>
  <si>
    <t>---</t>
  </si>
  <si>
    <t>B3</t>
  </si>
  <si>
    <t>Yahoo Finance</t>
  </si>
  <si>
    <t>Nasdaq ^IXIC: https://finance.yahoo.com/quote/%5EIXIC/history/ | Dow Jones ^DJI: https://finance.yahoo.com/quote/%5EDJI/history/</t>
  </si>
  <si>
    <t>Brent BZ=F: https://finance.yahoo.com/quote/BZ=F/history/ | WTI CL=F: https://finance.yahoo.com/quote/CL=F/ (16 e 15/10) e https://finance.yahoo.com/quote/CL%3DF/history/ (09/10 e 02/01)</t>
  </si>
  <si>
    <t>Ouro GC=F: https://finance.yahoo.com/quote/GC=F/history/ | Bitcoin BTC-USD: https://finance.yahoo.com/quote/BTC-USD/history/ | T-Bond ^TNX: https://finance.yahoo.com/quote/%5ETNX/history/?p=%5ETNX</t>
  </si>
  <si>
    <t>Fontes linhas 8-15 (Yahoo Finance, consultado 18/10/2026). Fechamento = 16/10/2026 (último pregão); Abertura Dia = fech. 15/10/2026; Abertura Semana = fech. 09/10/2026; Abertura 2026 (base YTD) = fech. 31/12/2025. WTI 16 e 15/10 extraídos da página de cotação (histórico ainda sem essas datas).</t>
  </si>
  <si>
    <t>F2: BACEN</t>
  </si>
  <si>
    <t>F1: B3</t>
  </si>
  <si>
    <t>F3: INVESTING.COM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</si>
</sst>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#,##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10" fontId="0" fillId="0" borderId="3" xfId="2" applyNumberFormat="1" applyFont="1" applyBorder="1" applyAlignment="1">
      <alignment horizontal="right"/>
    </xf>
    <xf numFmtId="0" fontId="0" fillId="0" borderId="5" xfId="0" applyBorder="1"/>
    <xf numFmtId="0" fontId="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/>
    </xf>
    <xf numFmtId="10" fontId="1" fillId="0" borderId="4" xfId="2" quotePrefix="1" applyNumberFormat="1" applyFont="1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1" fillId="0" borderId="4" xfId="1" applyNumberFormat="1" applyFont="1" applyBorder="1" applyAlignment="1">
      <alignment horizontal="right"/>
    </xf>
    <xf numFmtId="4" fontId="0" fillId="2" borderId="0" xfId="0" applyNumberFormat="1" applyFill="1" applyAlignment="1">
      <alignment horizontal="right"/>
    </xf>
    <xf numFmtId="2" fontId="0" fillId="2" borderId="0" xfId="1" applyNumberFormat="1" applyFont="1" applyFill="1" applyAlignment="1">
      <alignment horizontal="right"/>
    </xf>
    <xf numFmtId="176" fontId="0" fillId="2" borderId="0" xfId="0" applyNumberFormat="1" applyFill="1" applyAlignment="1">
      <alignment horizontal="right"/>
    </xf>
    <xf numFmtId="176" fontId="0" fillId="2" borderId="0" xfId="1" applyNumberFormat="1" applyFont="1" applyFill="1" applyAlignment="1">
      <alignment horizontal="right"/>
    </xf>
    <xf numFmtId="4" fontId="0" fillId="2" borderId="2" xfId="0" applyNumberFormat="1" applyFill="1" applyBorder="1" applyAlignment="1">
      <alignment horizontal="right"/>
    </xf>
    <xf numFmtId="2" fontId="1" fillId="2" borderId="1" xfId="1" quotePrefix="1" applyNumberFormat="1" applyFont="1" applyFill="1" applyBorder="1" applyAlignment="1">
      <alignment horizontal="center"/>
    </xf>
    <xf numFmtId="4" fontId="0" fillId="2" borderId="2" xfId="0" applyNumberFormat="1" applyFont="1" applyFill="1" applyBorder="1" applyAlignment="1">
      <alignment horizontal="center"/>
    </xf>
    <xf numFmtId="4" fontId="0" fillId="2" borderId="2" xfId="0" quotePrefix="1" applyNumberFormat="1" applyFill="1" applyBorder="1" applyAlignment="1">
      <alignment horizontal="right"/>
    </xf>
    <xf numFmtId="4" fontId="0" fillId="2" borderId="0" xfId="1" applyNumberFormat="1" applyFont="1" applyFill="1" applyAlignment="1">
      <alignment horizontal="right"/>
    </xf>
    <xf numFmtId="0" fontId="3" fillId="0" borderId="0" xfId="0" applyFont="1"/>
    <xf numFmtId="0" fontId="4" fillId="0" borderId="0" xfId="0" applyFont="1"/>
  </cellXfs>
  <cellStyles count="3">
    <cellStyle name="Normal" xfId="0" builtinId="0"/>
    <cellStyle name="Porcentagem" xfId="2" builtinId="5"/>
    <cellStyle name="Vírgula" xfId="1" builtinId="3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8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A99F1E7-6A43-46E8-B613-15D35AE5455E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6027f071-fa1e-440e-929b-7e36ebd2044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AEF9-0001-4739-836B-672B5DB7F69F}">
  <dimension ref="A1:J20"/>
  <sheetViews>
    <sheetView tabSelected="1" topLeftCell="B1" zoomScaleNormal="100" workbookViewId="0">
      <selection activeCell="H14" sqref="H14"/>
    </sheetView>
  </sheetViews>
  <sheetFormatPr defaultRowHeight="14.3" x14ac:dyDescent="0.25"/>
  <cols>
    <col min="1" max="1" width="16.375" bestFit="1" customWidth="1"/>
    <col min="2" max="3" width="10.625" customWidth="1"/>
    <col min="4" max="4" width="8.75" bestFit="1" customWidth="1"/>
    <col min="5" max="5" width="10.625" customWidth="1"/>
    <col min="6" max="6" width="8.625" bestFit="1" customWidth="1"/>
    <col min="7" max="7" width="10.625" customWidth="1"/>
    <col min="8" max="8" width="8.625" bestFit="1" customWidth="1"/>
    <col min="9" max="9" width="22" customWidth="1"/>
    <col min="10" max="10" width="1.875" customWidth="1"/>
  </cols>
  <sheetData>
    <row r="1" spans="1:10" x14ac:dyDescent="0.25">
      <c r="A1" s="5"/>
      <c r="B1" s="6" t="s">
        <v>16</v>
      </c>
      <c r="C1" s="6"/>
      <c r="D1" s="6"/>
      <c r="E1" s="6" t="s">
        <v>1</v>
      </c>
      <c r="F1" s="6"/>
      <c r="G1" s="6">
        <v>2026</v>
      </c>
      <c r="H1" s="6"/>
      <c r="I1" s="12" t="s">
        <v>19</v>
      </c>
      <c r="J1" s="2"/>
    </row>
    <row r="2" spans="1:10" x14ac:dyDescent="0.25">
      <c r="A2" s="9" t="s">
        <v>17</v>
      </c>
      <c r="B2" s="7" t="s">
        <v>2</v>
      </c>
      <c r="C2" s="7" t="s">
        <v>0</v>
      </c>
      <c r="D2" s="8" t="s">
        <v>18</v>
      </c>
      <c r="E2" s="7" t="s">
        <v>0</v>
      </c>
      <c r="F2" s="8" t="s">
        <v>18</v>
      </c>
      <c r="G2" s="7" t="s">
        <v>0</v>
      </c>
      <c r="H2" s="8" t="s">
        <v>18</v>
      </c>
      <c r="I2" s="7"/>
      <c r="J2" s="2"/>
    </row>
    <row r="3" spans="1:10" x14ac:dyDescent="0.25">
      <c r="A3" s="10" t="s">
        <v>3</v>
      </c>
      <c r="B3" s="16">
        <v>205430.33</v>
      </c>
      <c r="C3" s="17">
        <v>206887.52</v>
      </c>
      <c r="D3" s="4">
        <f>IFERROR((($B3/C3)-1),"Pendente")</f>
        <v>-7.0433924675592507E-3</v>
      </c>
      <c r="E3" s="16">
        <v>209066.9</v>
      </c>
      <c r="F3" s="4">
        <f>IFERROR((($B3/E3)-1),"Pendente")</f>
        <v>-1.7394288622445742E-2</v>
      </c>
      <c r="G3" s="16">
        <v>160538.69</v>
      </c>
      <c r="H3" s="4">
        <f>IFERROR((($B3/G3)-1),"Pendente")</f>
        <v>0.27963128389798109</v>
      </c>
      <c r="I3" s="1" t="s">
        <v>29</v>
      </c>
    </row>
    <row r="4" spans="1:10" x14ac:dyDescent="0.25">
      <c r="A4" s="10" t="s">
        <v>4</v>
      </c>
      <c r="B4" s="18">
        <v>5.0627000000000004</v>
      </c>
      <c r="C4" s="19">
        <v>5.0970000000000004</v>
      </c>
      <c r="D4" s="4">
        <f t="shared" ref="D4:F15" si="0">IFERROR((($B4/C4)-1),"Pendente")</f>
        <v>-6.7294486953110022E-3</v>
      </c>
      <c r="E4" s="18">
        <v>4.9871999999999996</v>
      </c>
      <c r="F4" s="4">
        <f t="shared" si="0"/>
        <v>1.51387552133464E-2</v>
      </c>
      <c r="G4" s="18">
        <v>5.4778000000000002</v>
      </c>
      <c r="H4" s="4">
        <f t="shared" ref="H4" si="1">IFERROR((($B4/G4)-1),"Pendente")</f>
        <v>-7.5778597247069923E-2</v>
      </c>
      <c r="I4" s="1" t="s">
        <v>30</v>
      </c>
    </row>
    <row r="5" spans="1:10" x14ac:dyDescent="0.25">
      <c r="A5" s="10" t="s">
        <v>5</v>
      </c>
      <c r="B5" s="18">
        <v>5.6902999999999997</v>
      </c>
      <c r="C5" s="19">
        <v>5.7191000000000001</v>
      </c>
      <c r="D5" s="4">
        <f t="shared" si="0"/>
        <v>-5.0357573744120865E-3</v>
      </c>
      <c r="E5" s="18">
        <v>5.5865</v>
      </c>
      <c r="F5" s="4">
        <f t="shared" si="0"/>
        <v>1.8580506578358413E-2</v>
      </c>
      <c r="G5" s="18">
        <v>6.4337999999999997</v>
      </c>
      <c r="H5" s="4">
        <f t="shared" ref="H5" si="2">IFERROR((($B5/G5)-1),"Pendente")</f>
        <v>-0.11556156548229668</v>
      </c>
      <c r="I5" s="1" t="s">
        <v>30</v>
      </c>
    </row>
    <row r="6" spans="1:10" x14ac:dyDescent="0.25">
      <c r="A6" s="10" t="s">
        <v>6</v>
      </c>
      <c r="B6" s="16"/>
      <c r="C6" s="17"/>
      <c r="D6" s="4" t="str">
        <f t="shared" si="0"/>
        <v>Pendente</v>
      </c>
      <c r="E6" s="16"/>
      <c r="F6" s="4" t="str">
        <f t="shared" si="0"/>
        <v>Pendente</v>
      </c>
      <c r="G6" s="16"/>
      <c r="H6" s="4" t="str">
        <f t="shared" ref="H6" si="3">IFERROR((($B6/G6)-1),"Pendente")</f>
        <v>Pendente</v>
      </c>
      <c r="I6" s="1"/>
    </row>
    <row r="7" spans="1:10" ht="14.95" thickBot="1" x14ac:dyDescent="0.3">
      <c r="A7" s="11" t="s">
        <v>7</v>
      </c>
      <c r="B7" s="20">
        <v>13.75</v>
      </c>
      <c r="C7" s="21" t="s">
        <v>21</v>
      </c>
      <c r="D7" s="13" t="s">
        <v>21</v>
      </c>
      <c r="E7" s="22" t="s">
        <v>21</v>
      </c>
      <c r="F7" s="14" t="s">
        <v>21</v>
      </c>
      <c r="G7" s="23">
        <v>15</v>
      </c>
      <c r="H7" s="15">
        <f>G7-B7</f>
        <v>1.25</v>
      </c>
      <c r="I7" s="3" t="s">
        <v>28</v>
      </c>
    </row>
    <row r="8" spans="1:10" ht="14.95" thickTop="1" x14ac:dyDescent="0.25">
      <c r="A8" s="10" t="s">
        <v>8</v>
      </c>
      <c r="B8" s="16">
        <v>7659.44</v>
      </c>
      <c r="C8" s="17">
        <v>7744.06</v>
      </c>
      <c r="D8" s="4">
        <f>IFERROR((($B8/C8)-1),"Pendente")</f>
        <v>-1.092708475915749E-2</v>
      </c>
      <c r="E8" s="16">
        <v>7811.54</v>
      </c>
      <c r="F8" s="4">
        <f t="shared" si="0"/>
        <v>-1.947119262014918E-2</v>
      </c>
      <c r="G8" s="16">
        <v>6845.5</v>
      </c>
      <c r="H8" s="4">
        <f>IFERROR((($B8/G8)-1),"Pendente")</f>
        <v>0.1189014681177416</v>
      </c>
      <c r="I8" s="1" t="s">
        <v>23</v>
      </c>
    </row>
    <row r="9" spans="1:10" x14ac:dyDescent="0.25">
      <c r="A9" s="10" t="s">
        <v>9</v>
      </c>
      <c r="B9" s="16">
        <v>26140.03</v>
      </c>
      <c r="C9" s="24">
        <v>26713.03</v>
      </c>
      <c r="D9" s="4">
        <f t="shared" si="0"/>
        <v>-2.1450206135357863E-2</v>
      </c>
      <c r="E9" s="16">
        <v>27366.17</v>
      </c>
      <c r="F9" s="4">
        <f t="shared" si="0"/>
        <v>-4.4804954438271816E-2</v>
      </c>
      <c r="G9" s="16">
        <v>23241.99</v>
      </c>
      <c r="H9" s="4">
        <f t="shared" ref="H9" si="4">IFERROR((($B9/G9)-1),"Pendente")</f>
        <v>0.12468983938122324</v>
      </c>
      <c r="I9" s="1" t="s">
        <v>23</v>
      </c>
    </row>
    <row r="10" spans="1:10" x14ac:dyDescent="0.25">
      <c r="A10" s="10" t="s">
        <v>10</v>
      </c>
      <c r="B10" s="16">
        <v>52002.41</v>
      </c>
      <c r="C10" s="24">
        <v>52177.69</v>
      </c>
      <c r="D10" s="4">
        <f t="shared" si="0"/>
        <v>-3.3592901487206062E-3</v>
      </c>
      <c r="E10" s="16">
        <v>51654.95</v>
      </c>
      <c r="F10" s="4">
        <f t="shared" si="0"/>
        <v>6.7265576677550953E-3</v>
      </c>
      <c r="G10" s="16">
        <v>48063.29</v>
      </c>
      <c r="H10" s="4">
        <f t="shared" ref="H10" si="5">IFERROR((($B10/G10)-1),"Pendente")</f>
        <v>8.1956936364531163E-2</v>
      </c>
      <c r="I10" s="1" t="s">
        <v>23</v>
      </c>
    </row>
    <row r="11" spans="1:10" x14ac:dyDescent="0.25">
      <c r="A11" s="10" t="s">
        <v>11</v>
      </c>
      <c r="B11" s="16">
        <v>109.86</v>
      </c>
      <c r="C11" s="24">
        <v>105.92</v>
      </c>
      <c r="D11" s="4">
        <f t="shared" si="0"/>
        <v>3.7197885196374569E-2</v>
      </c>
      <c r="E11" s="16">
        <v>104.72</v>
      </c>
      <c r="F11" s="4">
        <f t="shared" si="0"/>
        <v>4.9083269671504892E-2</v>
      </c>
      <c r="G11" s="16">
        <v>60.75</v>
      </c>
      <c r="H11" s="4">
        <f t="shared" ref="H11" si="6">IFERROR((($B11/G11)-1),"Pendente")</f>
        <v>0.80839506172839504</v>
      </c>
      <c r="I11" s="1" t="s">
        <v>23</v>
      </c>
    </row>
    <row r="12" spans="1:10" x14ac:dyDescent="0.25">
      <c r="A12" s="10" t="s">
        <v>12</v>
      </c>
      <c r="B12" s="16">
        <v>99.02</v>
      </c>
      <c r="C12" s="24">
        <v>96.5</v>
      </c>
      <c r="D12" s="4">
        <f t="shared" si="0"/>
        <v>2.6113989637305712E-2</v>
      </c>
      <c r="E12" s="16">
        <v>91.85</v>
      </c>
      <c r="F12" s="4">
        <f t="shared" si="0"/>
        <v>7.8062057702776189E-2</v>
      </c>
      <c r="G12" s="16">
        <v>57.42</v>
      </c>
      <c r="H12" s="4">
        <f t="shared" ref="H12" si="7">IFERROR((($B12/G12)-1),"Pendente")</f>
        <v>0.72448624172762099</v>
      </c>
      <c r="I12" s="1" t="s">
        <v>23</v>
      </c>
    </row>
    <row r="13" spans="1:10" x14ac:dyDescent="0.25">
      <c r="A13" s="10" t="s">
        <v>13</v>
      </c>
      <c r="B13" s="16">
        <v>4181.1000000000004</v>
      </c>
      <c r="C13" s="24">
        <v>4170.1000000000004</v>
      </c>
      <c r="D13" s="4">
        <f t="shared" si="0"/>
        <v>2.6378264310207289E-3</v>
      </c>
      <c r="E13" s="16">
        <v>4216.3</v>
      </c>
      <c r="F13" s="4">
        <f t="shared" si="0"/>
        <v>-8.3485520480041098E-3</v>
      </c>
      <c r="G13" s="16">
        <v>4361.55</v>
      </c>
      <c r="H13" s="4">
        <f t="shared" ref="H13:H14" si="8">IFERROR((($B13/G13)-1),"Pendente")</f>
        <v>-4.1372906420882427E-2</v>
      </c>
      <c r="I13" s="1" t="s">
        <v>23</v>
      </c>
    </row>
    <row r="14" spans="1:10" x14ac:dyDescent="0.25">
      <c r="A14" s="10" t="s">
        <v>14</v>
      </c>
      <c r="B14" s="16">
        <v>81500.800000000003</v>
      </c>
      <c r="C14" s="24">
        <v>82141.460000000006</v>
      </c>
      <c r="D14" s="4">
        <f t="shared" si="0"/>
        <v>-7.7994717892767573E-3</v>
      </c>
      <c r="E14" s="16">
        <v>82546.320000000007</v>
      </c>
      <c r="F14" s="4">
        <f t="shared" si="0"/>
        <v>-1.2665858393202778E-2</v>
      </c>
      <c r="G14" s="16">
        <v>87508.83</v>
      </c>
      <c r="H14" s="4">
        <f t="shared" si="8"/>
        <v>-6.8656271601391539E-2</v>
      </c>
      <c r="I14" s="1" t="s">
        <v>23</v>
      </c>
    </row>
    <row r="15" spans="1:10" x14ac:dyDescent="0.25">
      <c r="A15" s="10" t="s">
        <v>15</v>
      </c>
      <c r="B15" s="16">
        <v>5.0999999999999996</v>
      </c>
      <c r="C15" s="16">
        <v>5.09</v>
      </c>
      <c r="D15" s="4">
        <f t="shared" si="0"/>
        <v>1.9646365422396617E-3</v>
      </c>
      <c r="E15" s="16">
        <v>5.24</v>
      </c>
      <c r="F15" s="4">
        <f t="shared" si="0"/>
        <v>-2.6717557251908497E-2</v>
      </c>
      <c r="G15" s="16">
        <v>4.16</v>
      </c>
      <c r="H15" s="4">
        <f t="shared" ref="H15" si="9">IFERROR((($B15/G15)-1),"Pendente")</f>
        <v>0.22596153846153832</v>
      </c>
      <c r="I15" s="1" t="s">
        <v>23</v>
      </c>
    </row>
    <row r="17" spans="1:1" x14ac:dyDescent="0.25">
      <c r="A17" s="26" t="s">
        <v>27</v>
      </c>
    </row>
    <row r="18" spans="1:1" x14ac:dyDescent="0.25">
      <c r="A18" s="25" t="s">
        <v>24</v>
      </c>
    </row>
    <row r="19" spans="1:1" x14ac:dyDescent="0.25">
      <c r="A19" s="25" t="s">
        <v>25</v>
      </c>
    </row>
    <row r="20" spans="1:1" x14ac:dyDescent="0.25">
      <c r="A20" s="25" t="s">
        <v>26</v>
      </c>
    </row>
  </sheetData>
  <mergeCells count="3">
    <mergeCell ref="B1:D1"/>
    <mergeCell ref="E1:F1"/>
    <mergeCell ref="G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3379-F120-44D0-83D3-D011E6677FE1}">
  <dimension ref="A1:M15"/>
  <sheetViews>
    <sheetView zoomScale="115" zoomScaleNormal="115" workbookViewId="0">
      <selection activeCell="G8" sqref="G8"/>
    </sheetView>
  </sheetViews>
  <sheetFormatPr defaultRowHeight="14.3" x14ac:dyDescent="0.25"/>
  <cols>
    <col min="1" max="1" width="16.375" bestFit="1" customWidth="1"/>
    <col min="2" max="3" width="10.625" customWidth="1"/>
    <col min="4" max="4" width="8.75" bestFit="1" customWidth="1"/>
    <col min="5" max="5" width="10.625" customWidth="1"/>
    <col min="6" max="6" width="8.625" bestFit="1" customWidth="1"/>
    <col min="7" max="7" width="10.625" customWidth="1"/>
    <col min="8" max="8" width="8.625" bestFit="1" customWidth="1"/>
    <col min="9" max="9" width="22" customWidth="1"/>
    <col min="10" max="10" width="1.875" customWidth="1"/>
  </cols>
  <sheetData>
    <row r="1" spans="1:13" x14ac:dyDescent="0.25">
      <c r="A1" s="5"/>
      <c r="B1" s="6" t="s">
        <v>16</v>
      </c>
      <c r="C1" s="6"/>
      <c r="D1" s="6"/>
      <c r="E1" s="6" t="s">
        <v>1</v>
      </c>
      <c r="F1" s="6"/>
      <c r="G1" s="6">
        <v>2026</v>
      </c>
      <c r="H1" s="6"/>
      <c r="I1" s="12" t="s">
        <v>19</v>
      </c>
      <c r="J1" s="2"/>
    </row>
    <row r="2" spans="1:13" x14ac:dyDescent="0.25">
      <c r="A2" s="9" t="s">
        <v>17</v>
      </c>
      <c r="B2" s="7" t="s">
        <v>2</v>
      </c>
      <c r="C2" s="7" t="s">
        <v>0</v>
      </c>
      <c r="D2" s="8" t="s">
        <v>18</v>
      </c>
      <c r="E2" s="7" t="s">
        <v>0</v>
      </c>
      <c r="F2" s="8" t="s">
        <v>18</v>
      </c>
      <c r="G2" s="7" t="s">
        <v>0</v>
      </c>
      <c r="H2" s="8" t="s">
        <v>18</v>
      </c>
      <c r="I2" s="7"/>
      <c r="J2" s="2"/>
    </row>
    <row r="3" spans="1:13" x14ac:dyDescent="0.25">
      <c r="A3" s="10" t="s">
        <v>3</v>
      </c>
      <c r="B3" s="16">
        <v>205430.33</v>
      </c>
      <c r="C3" s="17">
        <v>206887.52</v>
      </c>
      <c r="D3" s="4">
        <f>IFERROR((($B3/C3)-1),"Pendente")</f>
        <v>-7.0433924675592507E-3</v>
      </c>
      <c r="E3" s="16">
        <v>209066.9</v>
      </c>
      <c r="F3" s="4">
        <f>IFERROR((($B3/E3)-1),"Pendente")</f>
        <v>-1.7394288622445742E-2</v>
      </c>
      <c r="G3" s="16">
        <v>160538.69</v>
      </c>
      <c r="H3" s="4">
        <f>IFERROR((($B3/G3)-1),"Pendente")</f>
        <v>0.27963128389798109</v>
      </c>
      <c r="I3" s="1" t="s">
        <v>20</v>
      </c>
      <c r="M3">
        <f>(K3+L3)/2</f>
        <v>0</v>
      </c>
    </row>
    <row r="4" spans="1:13" x14ac:dyDescent="0.25">
      <c r="A4" s="10" t="s">
        <v>4</v>
      </c>
      <c r="B4" s="18">
        <v>5.0826000000000002</v>
      </c>
      <c r="C4" s="19">
        <v>5.0521000000000003</v>
      </c>
      <c r="D4" s="4">
        <f t="shared" ref="D4:F15" si="0">IFERROR((($B4/C4)-1),"Pendente")</f>
        <v>6.0370934858771097E-3</v>
      </c>
      <c r="E4" s="18">
        <v>4.9892000000000003</v>
      </c>
      <c r="F4" s="4">
        <f t="shared" si="0"/>
        <v>1.8720436142066754E-2</v>
      </c>
      <c r="G4" s="18">
        <v>5.4371999999999998</v>
      </c>
      <c r="H4" s="4">
        <f t="shared" ref="H4:H6" si="1">IFERROR((($B4/G4)-1),"Pendente")</f>
        <v>-6.5217391304347783E-2</v>
      </c>
      <c r="I4" s="1" t="s">
        <v>20</v>
      </c>
    </row>
    <row r="5" spans="1:13" x14ac:dyDescent="0.25">
      <c r="A5" s="10" t="s">
        <v>5</v>
      </c>
      <c r="B5" s="18">
        <v>5.7088000000000001</v>
      </c>
      <c r="C5" s="19">
        <v>5.6608999999999998</v>
      </c>
      <c r="D5" s="4">
        <f t="shared" si="0"/>
        <v>8.461552050027521E-3</v>
      </c>
      <c r="E5" s="18">
        <v>5.5843999999999996</v>
      </c>
      <c r="F5" s="4">
        <f t="shared" si="0"/>
        <v>2.2276341236301178E-2</v>
      </c>
      <c r="G5" s="18">
        <v>6.3898000000000001</v>
      </c>
      <c r="H5" s="4">
        <f t="shared" si="1"/>
        <v>-0.10657610566840903</v>
      </c>
      <c r="I5" s="1" t="s">
        <v>20</v>
      </c>
    </row>
    <row r="6" spans="1:13" x14ac:dyDescent="0.25">
      <c r="A6" s="10" t="s">
        <v>6</v>
      </c>
      <c r="B6" s="16"/>
      <c r="C6" s="17"/>
      <c r="D6" s="4" t="str">
        <f t="shared" si="0"/>
        <v>Pendente</v>
      </c>
      <c r="E6" s="16"/>
      <c r="F6" s="4" t="str">
        <f t="shared" si="0"/>
        <v>Pendente</v>
      </c>
      <c r="G6" s="16"/>
      <c r="H6" s="4" t="str">
        <f t="shared" si="1"/>
        <v>Pendente</v>
      </c>
      <c r="I6" s="1"/>
    </row>
    <row r="7" spans="1:13" ht="14.95" thickBot="1" x14ac:dyDescent="0.3">
      <c r="A7" s="11" t="s">
        <v>7</v>
      </c>
      <c r="B7" s="20">
        <v>13.75</v>
      </c>
      <c r="C7" s="21" t="s">
        <v>21</v>
      </c>
      <c r="D7" s="13" t="s">
        <v>21</v>
      </c>
      <c r="E7" s="22" t="s">
        <v>21</v>
      </c>
      <c r="F7" s="14" t="s">
        <v>21</v>
      </c>
      <c r="G7" s="23">
        <v>15</v>
      </c>
      <c r="H7" s="15">
        <f>G7-B7</f>
        <v>1.25</v>
      </c>
      <c r="I7" s="3" t="s">
        <v>22</v>
      </c>
    </row>
    <row r="8" spans="1:13" ht="14.95" thickTop="1" x14ac:dyDescent="0.25">
      <c r="A8" s="10" t="s">
        <v>8</v>
      </c>
      <c r="B8" s="16">
        <v>7659.44</v>
      </c>
      <c r="C8" s="17">
        <v>7744.06</v>
      </c>
      <c r="D8" s="4">
        <f>IFERROR((($B8/C8)-1),"Pendente")</f>
        <v>-1.092708475915749E-2</v>
      </c>
      <c r="E8" s="16">
        <v>7811.54</v>
      </c>
      <c r="F8" s="4">
        <f t="shared" si="0"/>
        <v>-1.947119262014918E-2</v>
      </c>
      <c r="G8" s="16">
        <v>6858.47</v>
      </c>
      <c r="H8" s="4">
        <f>IFERROR((($B8/G8)-1),"Pendente")</f>
        <v>0.11678552213540327</v>
      </c>
      <c r="I8" s="1" t="s">
        <v>23</v>
      </c>
    </row>
    <row r="9" spans="1:13" x14ac:dyDescent="0.25">
      <c r="A9" s="10" t="s">
        <v>9</v>
      </c>
      <c r="B9" s="16">
        <v>26140.03</v>
      </c>
      <c r="C9" s="24">
        <v>26713.03</v>
      </c>
      <c r="D9" s="4">
        <f t="shared" si="0"/>
        <v>-2.1450206135357863E-2</v>
      </c>
      <c r="E9" s="16">
        <v>27366.17</v>
      </c>
      <c r="F9" s="4">
        <f t="shared" si="0"/>
        <v>-4.4804954438271816E-2</v>
      </c>
      <c r="G9" s="16">
        <v>23235.63</v>
      </c>
      <c r="H9" s="4">
        <f t="shared" ref="H9:H15" si="2">IFERROR((($B9/G9)-1),"Pendente")</f>
        <v>0.12499768674230038</v>
      </c>
      <c r="I9" s="1" t="s">
        <v>23</v>
      </c>
    </row>
    <row r="10" spans="1:13" x14ac:dyDescent="0.25">
      <c r="A10" s="10" t="s">
        <v>10</v>
      </c>
      <c r="B10" s="16">
        <v>52002.41</v>
      </c>
      <c r="C10" s="24">
        <v>52177.69</v>
      </c>
      <c r="D10" s="4">
        <f t="shared" si="0"/>
        <v>-3.3592901487206062E-3</v>
      </c>
      <c r="E10" s="16">
        <v>51654.95</v>
      </c>
      <c r="F10" s="4">
        <f t="shared" si="0"/>
        <v>6.7265576677550953E-3</v>
      </c>
      <c r="G10" s="16">
        <v>48382.39</v>
      </c>
      <c r="H10" s="4">
        <f t="shared" si="2"/>
        <v>7.4821024757148358E-2</v>
      </c>
      <c r="I10" s="1" t="s">
        <v>23</v>
      </c>
    </row>
    <row r="11" spans="1:13" x14ac:dyDescent="0.25">
      <c r="A11" s="10" t="s">
        <v>11</v>
      </c>
      <c r="B11" s="16">
        <v>109.69</v>
      </c>
      <c r="C11" s="24">
        <v>105.92</v>
      </c>
      <c r="D11" s="4">
        <f t="shared" si="0"/>
        <v>3.5592900302114705E-2</v>
      </c>
      <c r="E11" s="16">
        <v>104.72</v>
      </c>
      <c r="F11" s="4">
        <f t="shared" si="0"/>
        <v>4.7459893048128254E-2</v>
      </c>
      <c r="G11" s="16">
        <v>60.75</v>
      </c>
      <c r="H11" s="4">
        <f t="shared" si="2"/>
        <v>0.80559670781893011</v>
      </c>
      <c r="I11" s="1" t="s">
        <v>23</v>
      </c>
    </row>
    <row r="12" spans="1:13" x14ac:dyDescent="0.25">
      <c r="A12" s="10" t="s">
        <v>12</v>
      </c>
      <c r="B12" s="16">
        <v>99.02</v>
      </c>
      <c r="C12" s="24">
        <v>96.5</v>
      </c>
      <c r="D12" s="4">
        <f t="shared" si="0"/>
        <v>2.6113989637305712E-2</v>
      </c>
      <c r="E12" s="16">
        <v>91.85</v>
      </c>
      <c r="F12" s="4">
        <f t="shared" si="0"/>
        <v>7.8062057702776189E-2</v>
      </c>
      <c r="G12" s="16">
        <v>57.32</v>
      </c>
      <c r="H12" s="4">
        <f t="shared" si="2"/>
        <v>0.72749476622470333</v>
      </c>
      <c r="I12" s="1" t="s">
        <v>23</v>
      </c>
    </row>
    <row r="13" spans="1:13" x14ac:dyDescent="0.25">
      <c r="A13" s="10" t="s">
        <v>13</v>
      </c>
      <c r="B13" s="16">
        <v>4186.7</v>
      </c>
      <c r="C13" s="24">
        <v>4170.1000000000004</v>
      </c>
      <c r="D13" s="4">
        <f t="shared" si="0"/>
        <v>3.9807198868131444E-3</v>
      </c>
      <c r="E13" s="16">
        <v>4216.3</v>
      </c>
      <c r="F13" s="4">
        <f t="shared" si="0"/>
        <v>-7.0203733130944634E-3</v>
      </c>
      <c r="G13" s="16">
        <v>4329.6000000000004</v>
      </c>
      <c r="H13" s="4">
        <f t="shared" si="2"/>
        <v>-3.3005358462675605E-2</v>
      </c>
      <c r="I13" s="1" t="s">
        <v>23</v>
      </c>
    </row>
    <row r="14" spans="1:13" x14ac:dyDescent="0.25">
      <c r="A14" s="10" t="s">
        <v>14</v>
      </c>
      <c r="B14" s="16">
        <v>81500.800000000003</v>
      </c>
      <c r="C14" s="24">
        <v>82141.460000000006</v>
      </c>
      <c r="D14" s="4">
        <f t="shared" si="0"/>
        <v>-7.7994717892767573E-3</v>
      </c>
      <c r="E14" s="16">
        <v>82546.320000000007</v>
      </c>
      <c r="F14" s="4">
        <f t="shared" si="0"/>
        <v>-1.2665858393202778E-2</v>
      </c>
      <c r="G14" s="16">
        <v>89944.7</v>
      </c>
      <c r="H14" s="4">
        <f t="shared" si="2"/>
        <v>-9.3878794414790412E-2</v>
      </c>
      <c r="I14" s="1" t="s">
        <v>23</v>
      </c>
    </row>
    <row r="15" spans="1:13" x14ac:dyDescent="0.25">
      <c r="A15" s="10" t="s">
        <v>15</v>
      </c>
      <c r="B15" s="16">
        <v>5.0999999999999996</v>
      </c>
      <c r="C15" s="16">
        <v>5.09</v>
      </c>
      <c r="D15" s="4">
        <f t="shared" si="0"/>
        <v>1.9646365422396617E-3</v>
      </c>
      <c r="E15" s="16">
        <v>5.24</v>
      </c>
      <c r="F15" s="4">
        <f t="shared" si="0"/>
        <v>-2.6717557251908497E-2</v>
      </c>
      <c r="G15" s="16">
        <v>4.1900000000000004</v>
      </c>
      <c r="H15" s="4">
        <f t="shared" si="2"/>
        <v>0.21718377088305463</v>
      </c>
      <c r="I15" s="1" t="s">
        <v>23</v>
      </c>
    </row>
  </sheetData>
  <mergeCells count="3">
    <mergeCell ref="B1:D1"/>
    <mergeCell ref="E1:F1"/>
    <mergeCell ref="G1:H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Soares</dc:creator>
  <cp:lastModifiedBy>João Soares</cp:lastModifiedBy>
  <dcterms:created xsi:type="dcterms:W3CDTF">2026-10-18T21:53:21Z</dcterms:created>
  <dcterms:modified xsi:type="dcterms:W3CDTF">2026-10-19T03:21:48Z</dcterms:modified>
</cp:coreProperties>
</file>